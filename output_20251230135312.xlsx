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ns_確認" sheetId="1" r:id="rId1"/>
  </sheets>
  <definedNames>
    <definedName name="_xlnm._FilterDatabase" localSheetId="0" hidden="1">'vns_確認'!$A$1:$N$1</definedName>
  </definedNames>
  <calcPr fullCalcOnLoad="1"/>
</workbook>
</file>

<file path=xl/sharedStrings.xml><?xml version="1.0" encoding="utf-8"?>
<sst xmlns="http://schemas.openxmlformats.org/spreadsheetml/2006/main" count="32" uniqueCount="32">
  <si>
    <t xml:space="preserve">[JVN]
区分</t>
  </si>
  <si>
    <t xml:space="preserve">[JVN]
番号</t>
  </si>
  <si>
    <t xml:space="preserve">[JVN]
タイトル</t>
  </si>
  <si>
    <t xml:space="preserve">[JVN]
CVSS v3
深刻度</t>
  </si>
  <si>
    <t xml:space="preserve">[JVN]
CVSS v2
深刻度</t>
  </si>
  <si>
    <t xml:space="preserve">[JVN]
CVSS v3 URL</t>
  </si>
  <si>
    <t xml:space="preserve">[JVN]
CVSS v2 URL</t>
  </si>
  <si>
    <t xml:space="preserve">[JVN]
更新日</t>
  </si>
  <si>
    <t xml:space="preserve">[JVN]
CVE</t>
  </si>
  <si>
    <t xml:space="preserve">[Gauge]
URL</t>
  </si>
  <si>
    <t>影響有無</t>
  </si>
  <si>
    <t>対象パッケージ／ソフトウェア</t>
  </si>
  <si>
    <t xml:space="preserve">現行バージョン／
更新版バージョン</t>
  </si>
  <si>
    <t/>
  </si>
  <si>
    <t>Update</t>
  </si>
  <si>
    <t>JVNDB-2025-004019</t>
  </si>
  <si>
    <t>Oracle MySQL の MySQL Server における Server: Optimizer に関する脆弱性</t>
  </si>
  <si>
    <t>N/A</t>
  </si>
  <si>
    <t>https://jvndb.jvn.jp/cvss/ja/v3.html#CVSS:3.0/AV:N/AC:L/PR:H/UI:N/S:U/C:N/I:N/A:H</t>
  </si>
  <si>
    <t>2025/04/25 金 14:49:00</t>
  </si>
  <si>
    <t>CVE-2025-21492</t>
  </si>
  <si>
    <t>https://vns.vital-service.com/member/search?id=JVNDB-2025-004019</t>
  </si>
  <si>
    <t>更新版適用済</t>
  </si>
  <si>
    <t>mysql-8.0</t>
  </si>
  <si>
    <t>8.0.41-0ubuntu0.20.04.1 / 8.0.37-0ubuntu0.20.04.3</t>
  </si>
  <si>
    <t>JVNDB-2025-004020</t>
  </si>
  <si>
    <t>Oracle MySQL の MySQL Server における InnoDB に関する脆弱性</t>
  </si>
  <si>
    <t>https://jvndb.jvn.jp/cvss/ja/v3.html#CVSS:3.0/AV:N/AC:L/PR:H/UI:N/S:U/C:N/I:L/A:H</t>
  </si>
  <si>
    <t>2025/04/25 金 15:09:00</t>
  </si>
  <si>
    <t>CVE-2025-21497</t>
  </si>
  <si>
    <t>https://vns.vital-service.com/member/search?id=JVNDB-2025-004020</t>
  </si>
  <si>
    <t>8.0.41-0ubuntu0.20.04.1 / 8.0.41-0ubuntu0.20.04.1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</si>
</sst>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ＭＳ Ｐゴシック"/>
    </font>
    <font>
      <sz val="11"/>
      <name val="游ゴシック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2" applyFont="1" borderId="1" applyBorder="1" xfId="0" applyProtection="1"/>
    <xf numFmtId="0" applyNumberFormat="1" fontId="0" applyFont="1" borderId="1" applyBorder="1" xfId="0" applyProtection="1"/>
    <xf numFmtId="0" applyNumberFormat="1" fontId="1" applyFont="1" borderId="2" applyBorder="1" xfId="0" applyProtection="1">
      <alignment wrapText="1"/>
    </xf>
  </cellXfs>
  <cellStyles count="1">
    <cellStyle name="Normal" xfId="0" builtinId="0"/>
  </cellStyles>
  <dxfs count="1">
    <d:dxf xmlns:d="http://schemas.openxmlformats.org/spreadsheetml/2006/main">
      <fill>
        <patternFill patternType="solid">
          <bgColor rgb="ffffc7ce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7.75" customWidth="1"/>
    <col min="2" max="2" width="19.33" customWidth="1"/>
    <col min="3" max="3" width="99.25" customWidth="1"/>
    <col min="4" max="4" width="11" customWidth="1"/>
    <col min="5" max="5" width="10.08" customWidth="1"/>
    <col min="6" max="6" width="33.16" customWidth="1"/>
    <col min="7" max="7" width="22.83" customWidth="1"/>
    <col min="12" max="12" width="30" customWidth="1"/>
    <col min="13" max="13" width="30" customWidth="1"/>
  </cols>
  <sheetData>
    <row r="1" ht="3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ht="18" customHeight="1">
      <c r="A2" s="1" t="s">
        <v>14</v>
      </c>
      <c r="B2" s="2" t="s">
        <v>15</v>
      </c>
      <c r="C2" s="2" t="s">
        <v>16</v>
      </c>
      <c r="D2" s="2">
        <v>4.9</v>
      </c>
      <c r="E2" s="2" t="s">
        <v>17</v>
      </c>
      <c r="F2" s="2" t="s">
        <v>18</v>
      </c>
      <c r="G2" s="2" t="s">
        <v>17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13</v>
      </c>
    </row>
    <row r="3" ht="18" customHeight="1">
      <c r="A3" s="1" t="s">
        <v>14</v>
      </c>
      <c r="B3" s="2" t="s">
        <v>25</v>
      </c>
      <c r="C3" s="2" t="s">
        <v>26</v>
      </c>
      <c r="D3" s="2">
        <v>5.5</v>
      </c>
      <c r="E3" s="2" t="s">
        <v>17</v>
      </c>
      <c r="F3" s="2" t="s">
        <v>27</v>
      </c>
      <c r="G3" s="2" t="s">
        <v>17</v>
      </c>
      <c r="H3" s="2" t="s">
        <v>28</v>
      </c>
      <c r="I3" s="2" t="s">
        <v>29</v>
      </c>
      <c r="J3" s="2" t="s">
        <v>30</v>
      </c>
      <c r="K3" s="2" t="s">
        <v>22</v>
      </c>
      <c r="L3" s="2" t="s">
        <v>23</v>
      </c>
      <c r="M3" s="2" t="s">
        <v>31</v>
      </c>
      <c r="N3" s="2" t="s">
        <v>13</v>
      </c>
    </row>
  </sheetData>
  <autoFilter ref="A1:N1"/>
  <conditionalFormatting sqref="D2:D3">
    <cfRule priority="1" type="cellIs" operator="greaterThanOrEqual" dxfId="0">
      <formula>9.0</formula>
    </cfRule>
  </conditionalFormatting>
  <headerFooter/>
</worksheet>
</file>